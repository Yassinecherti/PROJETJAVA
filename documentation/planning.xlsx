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codeName="ThisWorkbook"/>
  <bookViews>
    <workbookView xWindow="-108" yWindow="-108" windowWidth="25824" windowHeight="15504"/>
  </bookViews>
  <sheets>
    <sheet name="PlanningProjet" sheetId="11" r:id="rId1"/>
    <sheet name="À propos de" sheetId="12" r:id="rId2"/>
  </sheets>
  <definedNames>
    <definedName name="avancement_tâche" localSheetId="0">PlanningProjet!#REF!</definedName>
    <definedName name="ce_jour" localSheetId="0">TODAY()</definedName>
    <definedName name="Début_Projet">PlanningProjet!$D$3</definedName>
    <definedName name="début_tâche" localSheetId="0">PlanningProjet!$D1</definedName>
    <definedName name="fin_tâche" localSheetId="0">PlanningProjet!$E1</definedName>
    <definedName name="_xlnm.Print_Titles" localSheetId="0">PlanningProjet!$4:$6</definedName>
    <definedName name="Semaine_Affichage">PlanningProjet!$D$4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9" i="11" l="1"/>
  <c r="G19" i="11" s="1"/>
  <c r="E18" i="11"/>
  <c r="E15" i="11"/>
  <c r="E12" i="11"/>
  <c r="G18" i="11" l="1"/>
  <c r="D9" i="11"/>
  <c r="G7" i="11"/>
  <c r="D10" i="11" l="1"/>
  <c r="E9" i="11"/>
  <c r="H5" i="11"/>
  <c r="H6" i="11" s="1"/>
  <c r="G17" i="11"/>
  <c r="G13" i="11"/>
  <c r="G8" i="11"/>
  <c r="D11" i="11" l="1"/>
  <c r="E11" i="11" s="1"/>
  <c r="E10" i="11"/>
  <c r="D14" i="11"/>
  <c r="G9" i="11"/>
  <c r="E14" i="11" l="1"/>
  <c r="D16" i="11"/>
  <c r="E16" i="11" s="1"/>
  <c r="G11" i="11"/>
  <c r="G10" i="11"/>
  <c r="G14" i="11"/>
  <c r="I5" i="11"/>
  <c r="J5" i="11" l="1"/>
  <c r="K5" i="11" l="1"/>
  <c r="L5" i="11" l="1"/>
  <c r="M5" i="11" l="1"/>
  <c r="N5" i="11" l="1"/>
  <c r="O5" i="11" l="1"/>
  <c r="O6" i="11" s="1"/>
  <c r="N6" i="11"/>
  <c r="M6" i="11"/>
  <c r="L6" i="11"/>
  <c r="K6" i="11"/>
  <c r="J6" i="11"/>
  <c r="I6" i="11"/>
  <c r="H4" i="11"/>
  <c r="G15" i="11" l="1"/>
  <c r="O4" i="11"/>
  <c r="P5" i="11"/>
  <c r="Q5" i="11" l="1"/>
  <c r="R5" i="11" l="1"/>
  <c r="S5" i="11" l="1"/>
  <c r="T5" i="11" l="1"/>
  <c r="U5" i="11" l="1"/>
  <c r="V5" i="11" l="1"/>
  <c r="V6" i="11" s="1"/>
  <c r="U6" i="11"/>
  <c r="T6" i="11"/>
  <c r="S6" i="11"/>
  <c r="R6" i="11"/>
  <c r="Q6" i="11"/>
  <c r="P6" i="11"/>
  <c r="W5" i="11" l="1"/>
  <c r="X5" i="11" s="1"/>
  <c r="V4" i="1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 r="BE5" i="11" l="1"/>
  <c r="BE6" i="11" s="1"/>
  <c r="BE4" i="11" l="1"/>
  <c r="BF5" i="11"/>
  <c r="BF6" i="11" s="1"/>
  <c r="BG5" i="11" l="1"/>
  <c r="BG6" i="11" s="1"/>
  <c r="BH5" i="11" l="1"/>
  <c r="BH6" i="11" s="1"/>
  <c r="BI5" i="11" l="1"/>
  <c r="BI6" i="11" s="1"/>
  <c r="BJ5" i="11"/>
  <c r="BJ6" i="11" s="1"/>
  <c r="BK5" i="11" l="1"/>
  <c r="BK6" i="11" s="1"/>
</calcChain>
</file>

<file path=xl/sharedStrings.xml><?xml version="1.0" encoding="utf-8"?>
<sst xmlns="http://schemas.openxmlformats.org/spreadsheetml/2006/main" count="55" uniqueCount="50">
  <si>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</si>
  <si>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</si>
  <si>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</si>
  <si>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</si>
  <si>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</si>
  <si>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</si>
  <si>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</si>
  <si>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</si>
  <si>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</si>
  <si>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</si>
  <si>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</si>
  <si>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Exemple de bloc de titre de phase</t>
  </si>
  <si>
    <t>TÂCHE</t>
  </si>
  <si>
    <t>Début du projet :</t>
  </si>
  <si>
    <t>Semaine d’affichage :</t>
  </si>
  <si>
    <t>ATTRIBUÉE
À</t>
  </si>
  <si>
    <t>DÉBUT</t>
  </si>
  <si>
    <t>FIN</t>
  </si>
  <si>
    <t>JOURS</t>
  </si>
  <si>
    <t>DIAGRAMME DE GANTT SIMPLE par Vertex42.com</t>
  </si>
  <si>
    <t>https://www.vertex42.com/ExcelTemplates/simple-gantt-chart.html</t>
  </si>
  <si>
    <t>À propos de ce modèle</t>
  </si>
  <si>
    <t>Ce modèle fournit un moyen simple de créer un diagramme de Gantt pour vous aider à visualiser et à suivre votre projet. Entrez simplement vos tâches et dates de début et de fin. Aucune formule n’est requise. Les barres du diagramme de Gantt représentent la durée de la tâche et s’affichent avec une mise en forme conditionnelle. Insérez de nouvelles tâches en insérant des lignes.</t>
  </si>
  <si>
    <t>Instructions pour les lecteurs d’écran</t>
  </si>
  <si>
    <t>Ce classeur contient deux feuilles de calcul. 
FeuilleDeTemps
À propos de
Les instructions relatives à chaque feuille de calcul figurent dans la colonne A à partir de la cellule A1. Elles sont rédigées en texte masqué. Chaque étape vous explique comment utiliser les informations décrites dans la ligne. Les étapes suivantes sont décrites dans les cellules A2, A3, etc. sauf mention contraire. Par exemple, l’instruction peut indiquer de « consulter la cellule A6 » pour l’étape suivante. 
Ce texte masqué n’est pas imprimé.
Pour supprimer ces instructions de la feuille de calcul, supprimez simplement la colonne A.</t>
  </si>
  <si>
    <t>Aide supplémentaire</t>
  </si>
  <si>
    <t>Cliquez sur le lien ci-dessous pour visiter le site vertex42.com afin d’en savoir plus sur l’utilisation de ce modèle, par exemple, sur la façon de calculer des jours et des jours de travail, de créer des dépendances de tâches, de modifier les couleurs des barres, d’ajouter une barre de défilement pour faciliter le changement de semaine d’affichage, d’étendre la plage de dates affichée dans le diagramme, etc.</t>
  </si>
  <si>
    <t>Comment utiliser le diagramme de Gantt Simple</t>
  </si>
  <si>
    <t>Autres modèles de gestion de projet</t>
  </si>
  <si>
    <t>Visitez le site Vertex42.com pour télécharger d’autres modèles de gestion de projet, dont différents types de plannings de projet, diagrammes de Gantt, listes de tâches, etc.</t>
  </si>
  <si>
    <t>Modèles de gestion de projet</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</si>
  <si>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</si>
  <si>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</si>
  <si>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commentaires de milliers d’utilisateurs.</t>
  </si>
  <si>
    <t>Client</t>
  </si>
  <si>
    <t>Base de donnée</t>
  </si>
  <si>
    <t>Java</t>
  </si>
  <si>
    <t>Compteur</t>
  </si>
  <si>
    <t>Facture</t>
  </si>
  <si>
    <t>Connexion db/base de donnée</t>
  </si>
  <si>
    <t>Connexion GU</t>
  </si>
  <si>
    <t>Init DB</t>
  </si>
  <si>
    <t>Id</t>
  </si>
  <si>
    <t>Eloisa</t>
  </si>
  <si>
    <t>Yassine/Eloisa</t>
  </si>
  <si>
    <t>Yassine/Eloisa/Duvarel</t>
  </si>
  <si>
    <t>Eloisa/Duvarel</t>
  </si>
  <si>
    <t>Document</t>
  </si>
  <si>
    <t>Document Technique</t>
  </si>
  <si>
    <t>Document Fonctionnelle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</si>
</sst>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3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2">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6" fontId="7" fillId="0" borderId="3">
      <alignment horizontal="center" vertical="center"/>
    </xf>
    <xf numFmtId="167"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2"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3" fillId="0" borderId="0" applyNumberFormat="0" applyFill="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6" fillId="13" borderId="0" applyNumberFormat="0" applyBorder="0" applyAlignment="0" applyProtection="0"/>
    <xf numFmtId="0" fontId="27" fillId="14" borderId="11" applyNumberFormat="0" applyAlignment="0" applyProtection="0"/>
    <xf numFmtId="0" fontId="28" fillId="15" borderId="12" applyNumberFormat="0" applyAlignment="0" applyProtection="0"/>
    <xf numFmtId="0" fontId="29" fillId="15" borderId="11" applyNumberFormat="0" applyAlignment="0" applyProtection="0"/>
    <xf numFmtId="0" fontId="30" fillId="0" borderId="13" applyNumberFormat="0" applyFill="0" applyAlignment="0" applyProtection="0"/>
    <xf numFmtId="0" fontId="31" fillId="16" borderId="14" applyNumberFormat="0" applyAlignment="0" applyProtection="0"/>
    <xf numFmtId="0" fontId="32" fillId="0" borderId="0" applyNumberFormat="0" applyFill="0" applyBorder="0" applyAlignment="0" applyProtection="0"/>
    <xf numFmtId="0" fontId="7" fillId="17" borderId="15" applyNumberFormat="0" applyFont="0" applyAlignment="0" applyProtection="0"/>
    <xf numFmtId="0" fontId="33" fillId="0" borderId="0" applyNumberFormat="0" applyFill="0" applyBorder="0" applyAlignment="0" applyProtection="0"/>
    <xf numFmtId="0" fontId="5" fillId="0" borderId="16" applyNumberFormat="0" applyFill="0" applyAlignment="0" applyProtection="0"/>
    <xf numFmtId="0" fontId="20"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1" borderId="0" applyNumberFormat="0" applyBorder="0" applyAlignment="0" applyProtection="0"/>
    <xf numFmtId="0" fontId="20"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20"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20"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3" borderId="0" applyNumberFormat="0" applyBorder="0" applyAlignment="0" applyProtection="0"/>
    <xf numFmtId="0" fontId="20"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7" fillId="37" borderId="0" applyNumberFormat="0" applyBorder="0" applyAlignment="0" applyProtection="0"/>
    <xf numFmtId="0" fontId="20"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7" fillId="41" borderId="0" applyNumberFormat="0" applyBorder="0" applyAlignment="0" applyProtection="0"/>
  </cellStyleXfs>
  <cellXfs count="6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0" borderId="1" xfId="0" applyFont="1" applyFill="1" applyBorder="1" applyAlignment="1">
      <alignment horizontal="left" vertical="center" indent="1"/>
    </xf>
    <xf numFmtId="0" fontId="6" fillId="10" borderId="1" xfId="0" applyFont="1" applyFill="1" applyBorder="1" applyAlignment="1">
      <alignment horizontal="center" vertical="center" wrapText="1"/>
    </xf>
    <xf numFmtId="0" fontId="10" fillId="9"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0" fontId="5" fillId="6" borderId="2" xfId="0" applyFont="1" applyFill="1" applyBorder="1" applyAlignment="1">
      <alignment horizontal="left" vertical="center" indent="1"/>
    </xf>
    <xf numFmtId="0" fontId="5" fillId="7" borderId="2" xfId="0" applyFont="1" applyFill="1" applyBorder="1" applyAlignment="1">
      <alignment horizontal="left" vertical="center" indent="1"/>
    </xf>
    <xf numFmtId="0" fontId="5" fillId="4" borderId="2" xfId="0" applyFont="1" applyFill="1" applyBorder="1" applyAlignment="1">
      <alignment horizontal="left" vertical="center" indent="1"/>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2" fillId="0" borderId="0" xfId="0" applyFont="1" applyAlignment="1">
      <alignment horizontal="left" vertical="top"/>
    </xf>
    <xf numFmtId="0" fontId="16"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0" fillId="0" borderId="0" xfId="3"/>
    <xf numFmtId="0" fontId="20" fillId="0" borderId="0" xfId="3" applyAlignment="1">
      <alignment wrapText="1"/>
    </xf>
    <xf numFmtId="0" fontId="20"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6" borderId="2" xfId="11" applyFill="1">
      <alignment horizontal="center" vertical="center"/>
    </xf>
    <xf numFmtId="0" fontId="7" fillId="7" borderId="2" xfId="11" applyFill="1">
      <alignment horizontal="center" vertical="center"/>
    </xf>
    <xf numFmtId="0" fontId="7" fillId="4" borderId="2" xfId="11" applyFill="1">
      <alignment horizontal="center" vertical="center"/>
    </xf>
    <xf numFmtId="0" fontId="0" fillId="0" borderId="10" xfId="0" applyBorder="1"/>
    <xf numFmtId="0" fontId="21" fillId="0" borderId="0" xfId="0" applyFont="1"/>
    <xf numFmtId="0" fontId="4" fillId="0" borderId="0" xfId="0" applyFont="1" applyAlignment="1">
      <alignment vertical="top"/>
    </xf>
    <xf numFmtId="167" fontId="0" fillId="6" borderId="2" xfId="0" applyNumberFormat="1" applyFill="1" applyBorder="1" applyAlignment="1">
      <alignment horizontal="center" vertical="center"/>
    </xf>
    <xf numFmtId="167" fontId="4" fillId="6" borderId="2" xfId="0" applyNumberFormat="1" applyFont="1" applyFill="1" applyBorder="1" applyAlignment="1">
      <alignment horizontal="center" vertical="center"/>
    </xf>
    <xf numFmtId="167" fontId="7" fillId="2" borderId="2" xfId="10" applyFill="1">
      <alignment horizontal="center" vertical="center"/>
    </xf>
    <xf numFmtId="167" fontId="0" fillId="7" borderId="2" xfId="0" applyNumberFormat="1" applyFill="1" applyBorder="1" applyAlignment="1">
      <alignment horizontal="center" vertical="center"/>
    </xf>
    <xf numFmtId="167" fontId="4" fillId="7" borderId="2" xfId="0" applyNumberFormat="1" applyFont="1" applyFill="1" applyBorder="1" applyAlignment="1">
      <alignment horizontal="center" vertical="center"/>
    </xf>
    <xf numFmtId="167" fontId="7" fillId="3" borderId="2" xfId="10" applyFill="1">
      <alignment horizontal="center" vertical="center"/>
    </xf>
    <xf numFmtId="167" fontId="0" fillId="4" borderId="2" xfId="0" applyNumberFormat="1" applyFill="1" applyBorder="1" applyAlignment="1">
      <alignment horizontal="center" vertical="center"/>
    </xf>
    <xf numFmtId="167" fontId="4" fillId="4" borderId="2" xfId="0" applyNumberFormat="1" applyFont="1" applyFill="1" applyBorder="1" applyAlignment="1">
      <alignment horizontal="center" vertical="center"/>
    </xf>
    <xf numFmtId="167" fontId="7" fillId="8" borderId="2" xfId="10" applyFill="1">
      <alignment horizontal="center" vertical="center"/>
    </xf>
    <xf numFmtId="169" fontId="9" fillId="5" borderId="6" xfId="0" applyNumberFormat="1" applyFont="1" applyFill="1" applyBorder="1" applyAlignment="1">
      <alignment horizontal="center" vertical="center"/>
    </xf>
    <xf numFmtId="169" fontId="9" fillId="5" borderId="0" xfId="0" applyNumberFormat="1" applyFont="1" applyFill="1" applyAlignment="1">
      <alignment horizontal="center" vertical="center"/>
    </xf>
    <xf numFmtId="169" fontId="9" fillId="5" borderId="7" xfId="0" applyNumberFormat="1" applyFont="1" applyFill="1" applyBorder="1" applyAlignment="1">
      <alignment horizontal="center" vertical="center"/>
    </xf>
    <xf numFmtId="0" fontId="7" fillId="0" borderId="0" xfId="8">
      <alignment horizontal="right" indent="1"/>
    </xf>
    <xf numFmtId="0" fontId="3" fillId="0" borderId="0" xfId="1" applyProtection="1">
      <alignment vertical="top"/>
    </xf>
    <xf numFmtId="168" fontId="0" fillId="5" borderId="4" xfId="0" applyNumberFormat="1" applyFill="1" applyBorder="1" applyAlignment="1">
      <alignment horizontal="left" vertical="center" wrapText="1" indent="1"/>
    </xf>
    <xf numFmtId="168" fontId="0" fillId="5" borderId="1" xfId="0" applyNumberFormat="1" applyFill="1" applyBorder="1" applyAlignment="1">
      <alignment horizontal="left" vertical="center" wrapText="1" indent="1"/>
    </xf>
    <xf numFmtId="168" fontId="0" fillId="5" borderId="5" xfId="0" applyNumberFormat="1" applyFill="1" applyBorder="1" applyAlignment="1">
      <alignment horizontal="left" vertical="center" wrapText="1" indent="1"/>
    </xf>
    <xf numFmtId="166" fontId="7" fillId="0" borderId="3" xfId="9">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0" fontId="0" fillId="3" borderId="2" xfId="11" applyFont="1" applyFill="1">
      <alignment horizontal="center" vertical="center"/>
    </xf>
    <xf numFmtId="0" fontId="0" fillId="8" borderId="2" xfId="12" applyFont="1" applyFill="1">
      <alignment horizontal="left" vertical="center" indent="2"/>
    </xf>
    <xf numFmtId="0" fontId="0" fillId="8" borderId="2" xfId="11" applyFont="1" applyFill="1">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cellStyle name="Début du projet" xfId="9"/>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BK21"/>
  <sheetViews>
    <sheetView showGridLines="0" tabSelected="1" showRuler="0" topLeftCell="E1" zoomScaleNormal="100" zoomScalePageLayoutView="70" workbookViewId="0">
      <pane ySplit="6" topLeftCell="A10" activePane="bottomLeft" state="frozen"/>
      <selection pane="bottomLeft" activeCell="B19" sqref="B19"/>
    </sheetView>
  </sheetViews>
  <sheetFormatPr baseColWidth="10" defaultColWidth="9.21875" defaultRowHeight="30" customHeight="1" x14ac:dyDescent="0.3"/>
  <cols>
    <col min="1" max="1" width="2.77734375" style="29" customWidth="1"/>
    <col min="2" max="2" width="33.88671875" customWidth="1"/>
    <col min="3" max="3" width="32.77734375" customWidth="1"/>
    <col min="4" max="4" width="10.44140625" style="5" customWidth="1"/>
    <col min="5" max="5" width="10.44140625" customWidth="1"/>
    <col min="6" max="6" width="2.77734375" customWidth="1"/>
    <col min="7" max="7" width="9.5546875" hidden="1" customWidth="1"/>
    <col min="8" max="63" width="2.5546875" customWidth="1"/>
    <col min="68" max="69" width="10.21875"/>
  </cols>
  <sheetData>
    <row r="1" spans="1:63" ht="30" customHeight="1" x14ac:dyDescent="0.55000000000000004">
      <c r="A1" s="30" t="s">
        <v>0</v>
      </c>
      <c r="B1" s="33"/>
      <c r="C1" s="1"/>
      <c r="D1" s="4"/>
      <c r="E1" s="18"/>
      <c r="G1" s="2"/>
      <c r="H1" s="40"/>
    </row>
    <row r="2" spans="1:63" ht="30" customHeight="1" x14ac:dyDescent="0.35">
      <c r="A2" s="29" t="s">
        <v>1</v>
      </c>
      <c r="B2" s="34"/>
      <c r="H2" s="55"/>
    </row>
    <row r="3" spans="1:63" ht="30" customHeight="1" x14ac:dyDescent="0.3">
      <c r="A3" s="29" t="s">
        <v>2</v>
      </c>
      <c r="B3" s="35"/>
      <c r="C3" s="54" t="s">
        <v>13</v>
      </c>
      <c r="D3" s="59">
        <v>46095</v>
      </c>
      <c r="E3" s="59"/>
    </row>
    <row r="4" spans="1:63" ht="30" customHeight="1" x14ac:dyDescent="0.3">
      <c r="A4" s="30" t="s">
        <v>3</v>
      </c>
      <c r="C4" s="54" t="s">
        <v>14</v>
      </c>
      <c r="D4" s="6">
        <v>1</v>
      </c>
      <c r="H4" s="56">
        <f>H5</f>
        <v>46090</v>
      </c>
      <c r="I4" s="57"/>
      <c r="J4" s="57"/>
      <c r="K4" s="57"/>
      <c r="L4" s="57"/>
      <c r="M4" s="57"/>
      <c r="N4" s="58"/>
      <c r="O4" s="56">
        <f>O5</f>
        <v>46097</v>
      </c>
      <c r="P4" s="57"/>
      <c r="Q4" s="57"/>
      <c r="R4" s="57"/>
      <c r="S4" s="57"/>
      <c r="T4" s="57"/>
      <c r="U4" s="58"/>
      <c r="V4" s="56">
        <f>V5</f>
        <v>46104</v>
      </c>
      <c r="W4" s="57"/>
      <c r="X4" s="57"/>
      <c r="Y4" s="57"/>
      <c r="Z4" s="57"/>
      <c r="AA4" s="57"/>
      <c r="AB4" s="58"/>
      <c r="AC4" s="56">
        <f>AC5</f>
        <v>46111</v>
      </c>
      <c r="AD4" s="57"/>
      <c r="AE4" s="57"/>
      <c r="AF4" s="57"/>
      <c r="AG4" s="57"/>
      <c r="AH4" s="57"/>
      <c r="AI4" s="58"/>
      <c r="AJ4" s="56">
        <f>AJ5</f>
        <v>46118</v>
      </c>
      <c r="AK4" s="57"/>
      <c r="AL4" s="57"/>
      <c r="AM4" s="57"/>
      <c r="AN4" s="57"/>
      <c r="AO4" s="57"/>
      <c r="AP4" s="58"/>
      <c r="AQ4" s="56">
        <f>AQ5</f>
        <v>46125</v>
      </c>
      <c r="AR4" s="57"/>
      <c r="AS4" s="57"/>
      <c r="AT4" s="57"/>
      <c r="AU4" s="57"/>
      <c r="AV4" s="57"/>
      <c r="AW4" s="58"/>
      <c r="AX4" s="56">
        <f>AX5</f>
        <v>46132</v>
      </c>
      <c r="AY4" s="57"/>
      <c r="AZ4" s="57"/>
      <c r="BA4" s="57"/>
      <c r="BB4" s="57"/>
      <c r="BC4" s="57"/>
      <c r="BD4" s="58"/>
      <c r="BE4" s="56">
        <f>BE5</f>
        <v>46139</v>
      </c>
      <c r="BF4" s="57"/>
      <c r="BG4" s="57"/>
      <c r="BH4" s="57"/>
      <c r="BI4" s="57"/>
      <c r="BJ4" s="57"/>
      <c r="BK4" s="58"/>
    </row>
    <row r="5" spans="1:63" ht="15" customHeight="1" x14ac:dyDescent="0.3">
      <c r="A5" s="30" t="s">
        <v>4</v>
      </c>
      <c r="B5" s="39"/>
      <c r="C5" s="39"/>
      <c r="D5" s="39"/>
      <c r="E5" s="39"/>
      <c r="F5" s="39"/>
      <c r="H5" s="51">
        <f>Début_Projet-WEEKDAY(Début_Projet,1)+2+7*(Semaine_Affichage-1)</f>
        <v>46090</v>
      </c>
      <c r="I5" s="52">
        <f>H5+1</f>
        <v>46091</v>
      </c>
      <c r="J5" s="52">
        <f t="shared" ref="J5:AW5" si="0">I5+1</f>
        <v>46092</v>
      </c>
      <c r="K5" s="52">
        <f t="shared" si="0"/>
        <v>46093</v>
      </c>
      <c r="L5" s="52">
        <f t="shared" si="0"/>
        <v>46094</v>
      </c>
      <c r="M5" s="52">
        <f t="shared" si="0"/>
        <v>46095</v>
      </c>
      <c r="N5" s="53">
        <f t="shared" si="0"/>
        <v>46096</v>
      </c>
      <c r="O5" s="51">
        <f>N5+1</f>
        <v>46097</v>
      </c>
      <c r="P5" s="52">
        <f>O5+1</f>
        <v>46098</v>
      </c>
      <c r="Q5" s="52">
        <f t="shared" si="0"/>
        <v>46099</v>
      </c>
      <c r="R5" s="52">
        <f t="shared" si="0"/>
        <v>46100</v>
      </c>
      <c r="S5" s="52">
        <f t="shared" si="0"/>
        <v>46101</v>
      </c>
      <c r="T5" s="52">
        <f t="shared" si="0"/>
        <v>46102</v>
      </c>
      <c r="U5" s="53">
        <f t="shared" si="0"/>
        <v>46103</v>
      </c>
      <c r="V5" s="51">
        <f>U5+1</f>
        <v>46104</v>
      </c>
      <c r="W5" s="52">
        <f>V5+1</f>
        <v>46105</v>
      </c>
      <c r="X5" s="52">
        <f t="shared" si="0"/>
        <v>46106</v>
      </c>
      <c r="Y5" s="52">
        <f t="shared" si="0"/>
        <v>46107</v>
      </c>
      <c r="Z5" s="52">
        <f t="shared" si="0"/>
        <v>46108</v>
      </c>
      <c r="AA5" s="52">
        <f t="shared" si="0"/>
        <v>46109</v>
      </c>
      <c r="AB5" s="53">
        <f t="shared" si="0"/>
        <v>46110</v>
      </c>
      <c r="AC5" s="51">
        <f>AB5+1</f>
        <v>46111</v>
      </c>
      <c r="AD5" s="52">
        <f>AC5+1</f>
        <v>46112</v>
      </c>
      <c r="AE5" s="52">
        <f t="shared" si="0"/>
        <v>46113</v>
      </c>
      <c r="AF5" s="52">
        <f t="shared" si="0"/>
        <v>46114</v>
      </c>
      <c r="AG5" s="52">
        <f t="shared" si="0"/>
        <v>46115</v>
      </c>
      <c r="AH5" s="52">
        <f t="shared" si="0"/>
        <v>46116</v>
      </c>
      <c r="AI5" s="53">
        <f t="shared" si="0"/>
        <v>46117</v>
      </c>
      <c r="AJ5" s="51">
        <f>AI5+1</f>
        <v>46118</v>
      </c>
      <c r="AK5" s="52">
        <f>AJ5+1</f>
        <v>46119</v>
      </c>
      <c r="AL5" s="52">
        <f t="shared" si="0"/>
        <v>46120</v>
      </c>
      <c r="AM5" s="52">
        <f t="shared" si="0"/>
        <v>46121</v>
      </c>
      <c r="AN5" s="52">
        <f t="shared" si="0"/>
        <v>46122</v>
      </c>
      <c r="AO5" s="52">
        <f t="shared" si="0"/>
        <v>46123</v>
      </c>
      <c r="AP5" s="53">
        <f t="shared" si="0"/>
        <v>46124</v>
      </c>
      <c r="AQ5" s="51">
        <f>AP5+1</f>
        <v>46125</v>
      </c>
      <c r="AR5" s="52">
        <f>AQ5+1</f>
        <v>46126</v>
      </c>
      <c r="AS5" s="52">
        <f t="shared" si="0"/>
        <v>46127</v>
      </c>
      <c r="AT5" s="52">
        <f t="shared" si="0"/>
        <v>46128</v>
      </c>
      <c r="AU5" s="52">
        <f t="shared" si="0"/>
        <v>46129</v>
      </c>
      <c r="AV5" s="52">
        <f t="shared" si="0"/>
        <v>46130</v>
      </c>
      <c r="AW5" s="53">
        <f t="shared" si="0"/>
        <v>46131</v>
      </c>
      <c r="AX5" s="51">
        <f>AW5+1</f>
        <v>46132</v>
      </c>
      <c r="AY5" s="52">
        <f>AX5+1</f>
        <v>46133</v>
      </c>
      <c r="AZ5" s="52">
        <f t="shared" ref="AZ5:BD5" si="1">AY5+1</f>
        <v>46134</v>
      </c>
      <c r="BA5" s="52">
        <f t="shared" si="1"/>
        <v>46135</v>
      </c>
      <c r="BB5" s="52">
        <f t="shared" si="1"/>
        <v>46136</v>
      </c>
      <c r="BC5" s="52">
        <f t="shared" si="1"/>
        <v>46137</v>
      </c>
      <c r="BD5" s="53">
        <f t="shared" si="1"/>
        <v>46138</v>
      </c>
      <c r="BE5" s="51">
        <f>BD5+1</f>
        <v>46139</v>
      </c>
      <c r="BF5" s="52">
        <f>BE5+1</f>
        <v>46140</v>
      </c>
      <c r="BG5" s="52">
        <f t="shared" ref="BG5:BK5" si="2">BF5+1</f>
        <v>46141</v>
      </c>
      <c r="BH5" s="52">
        <f t="shared" si="2"/>
        <v>46142</v>
      </c>
      <c r="BI5" s="52">
        <f t="shared" si="2"/>
        <v>46143</v>
      </c>
      <c r="BJ5" s="52">
        <f t="shared" si="2"/>
        <v>46144</v>
      </c>
      <c r="BK5" s="53">
        <f t="shared" si="2"/>
        <v>46145</v>
      </c>
    </row>
    <row r="6" spans="1:63" ht="30" customHeight="1" thickBot="1" x14ac:dyDescent="0.35">
      <c r="A6" s="30" t="s">
        <v>5</v>
      </c>
      <c r="B6" s="7" t="s">
        <v>12</v>
      </c>
      <c r="C6" s="8" t="s">
        <v>15</v>
      </c>
      <c r="D6" s="8" t="s">
        <v>16</v>
      </c>
      <c r="E6" s="8" t="s">
        <v>17</v>
      </c>
      <c r="F6" s="8"/>
      <c r="G6" s="8" t="s">
        <v>18</v>
      </c>
      <c r="H6" s="9" t="str">
        <f t="shared" ref="H6:AM6" si="3">LEFT(TEXT(H5,"jjj"),1)</f>
        <v>l</v>
      </c>
      <c r="I6" s="9" t="str">
        <f t="shared" si="3"/>
        <v>m</v>
      </c>
      <c r="J6" s="9" t="str">
        <f t="shared" si="3"/>
        <v>m</v>
      </c>
      <c r="K6" s="9" t="str">
        <f t="shared" si="3"/>
        <v>j</v>
      </c>
      <c r="L6" s="9" t="str">
        <f t="shared" si="3"/>
        <v>v</v>
      </c>
      <c r="M6" s="9" t="str">
        <f t="shared" si="3"/>
        <v>s</v>
      </c>
      <c r="N6" s="9" t="str">
        <f t="shared" si="3"/>
        <v>d</v>
      </c>
      <c r="O6" s="9" t="str">
        <f t="shared" si="3"/>
        <v>l</v>
      </c>
      <c r="P6" s="9" t="str">
        <f t="shared" si="3"/>
        <v>m</v>
      </c>
      <c r="Q6" s="9" t="str">
        <f t="shared" si="3"/>
        <v>m</v>
      </c>
      <c r="R6" s="9" t="str">
        <f t="shared" si="3"/>
        <v>j</v>
      </c>
      <c r="S6" s="9" t="str">
        <f t="shared" si="3"/>
        <v>v</v>
      </c>
      <c r="T6" s="9" t="str">
        <f t="shared" si="3"/>
        <v>s</v>
      </c>
      <c r="U6" s="9" t="str">
        <f t="shared" si="3"/>
        <v>d</v>
      </c>
      <c r="V6" s="9" t="str">
        <f t="shared" si="3"/>
        <v>l</v>
      </c>
      <c r="W6" s="9" t="str">
        <f t="shared" si="3"/>
        <v>m</v>
      </c>
      <c r="X6" s="9" t="str">
        <f t="shared" si="3"/>
        <v>m</v>
      </c>
      <c r="Y6" s="9" t="str">
        <f t="shared" si="3"/>
        <v>j</v>
      </c>
      <c r="Z6" s="9" t="str">
        <f t="shared" si="3"/>
        <v>v</v>
      </c>
      <c r="AA6" s="9" t="str">
        <f t="shared" si="3"/>
        <v>s</v>
      </c>
      <c r="AB6" s="9" t="str">
        <f t="shared" si="3"/>
        <v>d</v>
      </c>
      <c r="AC6" s="9" t="str">
        <f t="shared" si="3"/>
        <v>l</v>
      </c>
      <c r="AD6" s="9" t="str">
        <f t="shared" si="3"/>
        <v>m</v>
      </c>
      <c r="AE6" s="9" t="str">
        <f t="shared" si="3"/>
        <v>m</v>
      </c>
      <c r="AF6" s="9" t="str">
        <f t="shared" si="3"/>
        <v>j</v>
      </c>
      <c r="AG6" s="9" t="str">
        <f t="shared" si="3"/>
        <v>v</v>
      </c>
      <c r="AH6" s="9" t="str">
        <f t="shared" si="3"/>
        <v>s</v>
      </c>
      <c r="AI6" s="9" t="str">
        <f t="shared" si="3"/>
        <v>d</v>
      </c>
      <c r="AJ6" s="9" t="str">
        <f t="shared" si="3"/>
        <v>l</v>
      </c>
      <c r="AK6" s="9" t="str">
        <f t="shared" si="3"/>
        <v>m</v>
      </c>
      <c r="AL6" s="9" t="str">
        <f t="shared" si="3"/>
        <v>m</v>
      </c>
      <c r="AM6" s="9" t="str">
        <f t="shared" si="3"/>
        <v>j</v>
      </c>
      <c r="AN6" s="9" t="str">
        <f t="shared" ref="AN6:BK6" si="4">LEFT(TEXT(AN5,"jjj"),1)</f>
        <v>v</v>
      </c>
      <c r="AO6" s="9" t="str">
        <f t="shared" si="4"/>
        <v>s</v>
      </c>
      <c r="AP6" s="9" t="str">
        <f t="shared" si="4"/>
        <v>d</v>
      </c>
      <c r="AQ6" s="9" t="str">
        <f t="shared" si="4"/>
        <v>l</v>
      </c>
      <c r="AR6" s="9" t="str">
        <f t="shared" si="4"/>
        <v>m</v>
      </c>
      <c r="AS6" s="9" t="str">
        <f t="shared" si="4"/>
        <v>m</v>
      </c>
      <c r="AT6" s="9" t="str">
        <f t="shared" si="4"/>
        <v>j</v>
      </c>
      <c r="AU6" s="9" t="str">
        <f t="shared" si="4"/>
        <v>v</v>
      </c>
      <c r="AV6" s="9" t="str">
        <f t="shared" si="4"/>
        <v>s</v>
      </c>
      <c r="AW6" s="9" t="str">
        <f t="shared" si="4"/>
        <v>d</v>
      </c>
      <c r="AX6" s="9" t="str">
        <f t="shared" si="4"/>
        <v>l</v>
      </c>
      <c r="AY6" s="9" t="str">
        <f t="shared" si="4"/>
        <v>m</v>
      </c>
      <c r="AZ6" s="9" t="str">
        <f t="shared" si="4"/>
        <v>m</v>
      </c>
      <c r="BA6" s="9" t="str">
        <f t="shared" si="4"/>
        <v>j</v>
      </c>
      <c r="BB6" s="9" t="str">
        <f t="shared" si="4"/>
        <v>v</v>
      </c>
      <c r="BC6" s="9" t="str">
        <f t="shared" si="4"/>
        <v>s</v>
      </c>
      <c r="BD6" s="9" t="str">
        <f t="shared" si="4"/>
        <v>d</v>
      </c>
      <c r="BE6" s="9" t="str">
        <f t="shared" si="4"/>
        <v>l</v>
      </c>
      <c r="BF6" s="9" t="str">
        <f t="shared" si="4"/>
        <v>m</v>
      </c>
      <c r="BG6" s="9" t="str">
        <f t="shared" si="4"/>
        <v>m</v>
      </c>
      <c r="BH6" s="9" t="str">
        <f t="shared" si="4"/>
        <v>j</v>
      </c>
      <c r="BI6" s="9" t="str">
        <f t="shared" si="4"/>
        <v>v</v>
      </c>
      <c r="BJ6" s="9" t="str">
        <f t="shared" si="4"/>
        <v>s</v>
      </c>
      <c r="BK6" s="9" t="str">
        <f t="shared" si="4"/>
        <v>d</v>
      </c>
    </row>
    <row r="7" spans="1:63" ht="15" hidden="1" thickBot="1" x14ac:dyDescent="0.35">
      <c r="A7" s="29" t="s">
        <v>6</v>
      </c>
      <c r="C7" s="32"/>
      <c r="D7"/>
      <c r="G7" t="str">
        <f>IF(OR(ISBLANK(début_tâche),ISBLANK(fin_tâche)),"",fin_tâche-début_tâche+1)</f>
        <v/>
      </c>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row>
    <row r="8" spans="1:63" s="3" customFormat="1" ht="30" customHeight="1" thickBot="1" x14ac:dyDescent="0.35">
      <c r="A8" s="30" t="s">
        <v>7</v>
      </c>
      <c r="B8" s="13" t="s">
        <v>36</v>
      </c>
      <c r="C8" s="36"/>
      <c r="D8" s="42"/>
      <c r="E8" s="43"/>
      <c r="F8" s="12"/>
      <c r="G8" s="12" t="str">
        <f t="shared" ref="G8:G19" si="5">IF(OR(ISBLANK(début_tâche),ISBLANK(fin_tâche)),"",fin_tâche-début_tâche+1)</f>
        <v/>
      </c>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row>
    <row r="9" spans="1:63" s="3" customFormat="1" ht="30" customHeight="1" thickBot="1" x14ac:dyDescent="0.35">
      <c r="A9" s="30" t="s">
        <v>8</v>
      </c>
      <c r="B9" s="60" t="s">
        <v>34</v>
      </c>
      <c r="C9" s="62" t="s">
        <v>44</v>
      </c>
      <c r="D9" s="44">
        <f>Début_Projet</f>
        <v>46095</v>
      </c>
      <c r="E9" s="44">
        <f>D9+38</f>
        <v>46133</v>
      </c>
      <c r="F9" s="12"/>
      <c r="G9" s="12">
        <f t="shared" si="5"/>
        <v>39</v>
      </c>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row>
    <row r="10" spans="1:63" s="3" customFormat="1" ht="30" customHeight="1" thickBot="1" x14ac:dyDescent="0.35">
      <c r="A10" s="30" t="s">
        <v>9</v>
      </c>
      <c r="B10" s="60" t="s">
        <v>37</v>
      </c>
      <c r="C10" s="62" t="s">
        <v>45</v>
      </c>
      <c r="D10" s="44">
        <f>D9+25</f>
        <v>46120</v>
      </c>
      <c r="E10" s="44">
        <f>D10+30</f>
        <v>46150</v>
      </c>
      <c r="F10" s="12"/>
      <c r="G10" s="12">
        <f t="shared" si="5"/>
        <v>31</v>
      </c>
      <c r="H10" s="16"/>
      <c r="I10" s="16"/>
      <c r="J10" s="16"/>
      <c r="K10" s="16"/>
      <c r="L10" s="16"/>
      <c r="M10" s="16"/>
      <c r="N10" s="16"/>
      <c r="O10" s="16"/>
      <c r="P10" s="16"/>
      <c r="Q10" s="16"/>
      <c r="R10" s="16"/>
      <c r="S10" s="16"/>
      <c r="T10" s="17"/>
      <c r="U10" s="17"/>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row>
    <row r="11" spans="1:63" s="3" customFormat="1" ht="30" customHeight="1" thickBot="1" x14ac:dyDescent="0.35">
      <c r="A11" s="29"/>
      <c r="B11" s="60" t="s">
        <v>38</v>
      </c>
      <c r="C11" s="62" t="s">
        <v>45</v>
      </c>
      <c r="D11" s="44">
        <f>D10+3</f>
        <v>46123</v>
      </c>
      <c r="E11" s="44">
        <f>D11+32</f>
        <v>46155</v>
      </c>
      <c r="F11" s="12"/>
      <c r="G11" s="12">
        <f t="shared" si="5"/>
        <v>33</v>
      </c>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row>
    <row r="12" spans="1:63" s="3" customFormat="1" ht="30" customHeight="1" thickBot="1" x14ac:dyDescent="0.35">
      <c r="A12" s="29"/>
      <c r="B12" s="60" t="s">
        <v>42</v>
      </c>
      <c r="C12" s="62" t="s">
        <v>43</v>
      </c>
      <c r="D12" s="44">
        <v>46133</v>
      </c>
      <c r="E12" s="44">
        <f>D12+4</f>
        <v>46137</v>
      </c>
      <c r="F12" s="12"/>
      <c r="G12" s="12"/>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row>
    <row r="13" spans="1:63" s="3" customFormat="1" ht="30" customHeight="1" thickBot="1" x14ac:dyDescent="0.35">
      <c r="A13" s="30" t="s">
        <v>10</v>
      </c>
      <c r="B13" s="14" t="s">
        <v>35</v>
      </c>
      <c r="C13" s="37"/>
      <c r="D13" s="45"/>
      <c r="E13" s="46"/>
      <c r="F13" s="12"/>
      <c r="G13" s="12" t="str">
        <f t="shared" si="5"/>
        <v/>
      </c>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row>
    <row r="14" spans="1:63" s="3" customFormat="1" ht="30" customHeight="1" thickBot="1" x14ac:dyDescent="0.35">
      <c r="A14" s="30"/>
      <c r="B14" s="61" t="s">
        <v>39</v>
      </c>
      <c r="C14" s="63" t="s">
        <v>43</v>
      </c>
      <c r="D14" s="47">
        <f>D10+7</f>
        <v>46127</v>
      </c>
      <c r="E14" s="47">
        <f>D14+3</f>
        <v>46130</v>
      </c>
      <c r="F14" s="12"/>
      <c r="G14" s="12">
        <f t="shared" si="5"/>
        <v>4</v>
      </c>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row>
    <row r="15" spans="1:63" s="3" customFormat="1" ht="30" customHeight="1" thickBot="1" x14ac:dyDescent="0.35">
      <c r="A15" s="29"/>
      <c r="B15" s="61" t="s">
        <v>40</v>
      </c>
      <c r="C15" s="63" t="s">
        <v>46</v>
      </c>
      <c r="D15" s="47">
        <v>46143</v>
      </c>
      <c r="E15" s="47">
        <f>D15+13</f>
        <v>46156</v>
      </c>
      <c r="F15" s="12"/>
      <c r="G15" s="12">
        <f t="shared" si="5"/>
        <v>14</v>
      </c>
      <c r="H15" s="16"/>
      <c r="I15" s="16"/>
      <c r="J15" s="16"/>
      <c r="K15" s="16"/>
      <c r="L15" s="16"/>
      <c r="M15" s="16"/>
      <c r="N15" s="16"/>
      <c r="O15" s="16"/>
      <c r="P15" s="16"/>
      <c r="Q15" s="16"/>
      <c r="R15" s="16"/>
      <c r="S15" s="16"/>
      <c r="T15" s="17"/>
      <c r="U15" s="17"/>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row>
    <row r="16" spans="1:63" s="3" customFormat="1" ht="30" customHeight="1" thickBot="1" x14ac:dyDescent="0.35">
      <c r="A16" s="29"/>
      <c r="B16" s="61" t="s">
        <v>41</v>
      </c>
      <c r="C16" s="63" t="s">
        <v>46</v>
      </c>
      <c r="D16" s="47">
        <f>D14</f>
        <v>46127</v>
      </c>
      <c r="E16" s="47">
        <f>D16+23</f>
        <v>46150</v>
      </c>
      <c r="F16" s="12"/>
      <c r="G16" s="12"/>
      <c r="H16" s="16"/>
      <c r="I16" s="16"/>
      <c r="J16" s="16"/>
      <c r="K16" s="16"/>
      <c r="L16" s="16"/>
      <c r="M16" s="16"/>
      <c r="N16" s="16"/>
      <c r="O16" s="16"/>
      <c r="P16" s="16"/>
      <c r="Q16" s="16"/>
      <c r="R16" s="16"/>
      <c r="S16" s="16"/>
      <c r="T16" s="17"/>
      <c r="U16" s="17"/>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row>
    <row r="17" spans="1:63" s="3" customFormat="1" ht="30" customHeight="1" thickBot="1" x14ac:dyDescent="0.35">
      <c r="A17" s="29" t="s">
        <v>11</v>
      </c>
      <c r="B17" s="15" t="s">
        <v>47</v>
      </c>
      <c r="C17" s="38"/>
      <c r="D17" s="48"/>
      <c r="E17" s="49"/>
      <c r="F17" s="12"/>
      <c r="G17" s="12" t="str">
        <f t="shared" si="5"/>
        <v/>
      </c>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row>
    <row r="18" spans="1:63" s="3" customFormat="1" ht="30" customHeight="1" thickBot="1" x14ac:dyDescent="0.35">
      <c r="A18" s="29"/>
      <c r="B18" s="64" t="s">
        <v>48</v>
      </c>
      <c r="C18" s="65" t="s">
        <v>46</v>
      </c>
      <c r="D18" s="50">
        <v>46129</v>
      </c>
      <c r="E18" s="50">
        <f>D18+27</f>
        <v>46156</v>
      </c>
      <c r="F18" s="12"/>
      <c r="G18" s="12" t="e">
        <f t="shared" si="5"/>
        <v>#REF!</v>
      </c>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row>
    <row r="19" spans="1:63" s="3" customFormat="1" ht="30" customHeight="1" thickBot="1" x14ac:dyDescent="0.35">
      <c r="A19" s="29"/>
      <c r="B19" s="64" t="s">
        <v>49</v>
      </c>
      <c r="C19" s="65" t="s">
        <v>46</v>
      </c>
      <c r="D19" s="50">
        <v>46129</v>
      </c>
      <c r="E19" s="50">
        <f>D19+27</f>
        <v>46156</v>
      </c>
      <c r="F19" s="12"/>
      <c r="G19" s="12">
        <f t="shared" si="5"/>
        <v>28</v>
      </c>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row>
    <row r="20" spans="1:63" ht="30" customHeight="1" x14ac:dyDescent="0.3">
      <c r="C20" s="10"/>
      <c r="E20" s="31"/>
    </row>
    <row r="21" spans="1:63" ht="30" customHeight="1" x14ac:dyDescent="0.3">
      <c r="C21" s="11"/>
    </row>
  </sheetData>
  <mergeCells count="9">
    <mergeCell ref="AJ4:AP4"/>
    <mergeCell ref="AQ4:AW4"/>
    <mergeCell ref="AX4:BD4"/>
    <mergeCell ref="BE4:BK4"/>
    <mergeCell ref="D3:E3"/>
    <mergeCell ref="H4:N4"/>
    <mergeCell ref="O4:U4"/>
    <mergeCell ref="V4:AB4"/>
    <mergeCell ref="AC4:AI4"/>
  </mergeCells>
  <conditionalFormatting sqref="H5:BK18">
    <cfRule type="expression" dxfId="5" priority="36">
      <formula>AND(TODAY()&gt;=H$5,TODAY()&lt;I$5)</formula>
    </cfRule>
  </conditionalFormatting>
  <conditionalFormatting sqref="H7:BK18">
    <cfRule type="expression" dxfId="4" priority="30">
      <formula>AND(début_tâche&lt;=H$5,ROUNDDOWN((fin_tâche-début_tâche+1)*avancement_tâche,0)+début_tâche-1&gt;=H$5)</formula>
    </cfRule>
    <cfRule type="expression" dxfId="3" priority="31" stopIfTrue="1">
      <formula>AND(fin_tâche&gt;=H$5,début_tâche&lt;I$5)</formula>
    </cfRule>
  </conditionalFormatting>
  <conditionalFormatting sqref="H19:BK19">
    <cfRule type="expression" dxfId="2" priority="3">
      <formula>AND(TODAY()&gt;=H$5,TODAY()&lt;I$5)</formula>
    </cfRule>
  </conditionalFormatting>
  <conditionalFormatting sqref="H19:BK19">
    <cfRule type="expression" dxfId="1" priority="1">
      <formula>AND(début_tâche&lt;=H$5,ROUNDDOWN((fin_tâche-début_tâche+1)*avancement_tâche,0)+début_tâche-1&gt;=H$5)</formula>
    </cfRule>
    <cfRule type="expression" dxfId="0" priority="2" stopIfTrue="1">
      <formula>AND(fin_tâche&gt;=H$5,début_tâche&lt;I$5)</formula>
    </cfRule>
  </conditionalFormatting>
  <dataValidations count="1">
    <dataValidation type="whole" operator="greaterThanOrEqual" allowBlank="1" showInputMessage="1" promptTitle="Semaine d’affichage" prompt="La modification de ce nombre entraînera la défilement du diagramme de Gantt." sqref="D4">
      <formula1>1</formula1>
    </dataValidation>
  </dataValidations>
  <printOptions horizontalCentered="1"/>
  <pageMargins left="0.35" right="0.35" top="0.35" bottom="0.5" header="0.3" footer="0.3"/>
  <pageSetup paperSize="9" scale="59" fitToHeight="0" orientation="landscape" r:id="rId1"/>
  <headerFooter differentFirst="1" scaleWithDoc="0">
    <oddFooter>Page &amp;P of &amp;N</oddFooter>
  </headerFooter>
  <colBreaks count="1" manualBreakCount="1">
    <brk id="2"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zoomScaleNormal="100" workbookViewId="0"/>
  </sheetViews>
  <sheetFormatPr baseColWidth="10" defaultColWidth="9.21875" defaultRowHeight="13.8" x14ac:dyDescent="0.3"/>
  <cols>
    <col min="1" max="1" width="90.77734375" style="19" customWidth="1"/>
    <col min="2" max="16384" width="9.21875" style="2"/>
  </cols>
  <sheetData>
    <row r="1" spans="1:2" ht="46.5" customHeight="1" x14ac:dyDescent="0.3"/>
    <row r="2" spans="1:2" s="21" customFormat="1" ht="15.6" x14ac:dyDescent="0.3">
      <c r="A2" s="20" t="s">
        <v>19</v>
      </c>
      <c r="B2" s="20"/>
    </row>
    <row r="3" spans="1:2" s="25" customFormat="1" ht="27" customHeight="1" x14ac:dyDescent="0.3">
      <c r="A3" s="41" t="s">
        <v>20</v>
      </c>
      <c r="B3" s="26"/>
    </row>
    <row r="4" spans="1:2" s="22" customFormat="1" ht="25.8" x14ac:dyDescent="0.5">
      <c r="A4" s="23" t="s">
        <v>21</v>
      </c>
    </row>
    <row r="5" spans="1:2" ht="74.099999999999994" customHeight="1" x14ac:dyDescent="0.3">
      <c r="A5" s="24" t="s">
        <v>22</v>
      </c>
    </row>
    <row r="6" spans="1:2" ht="26.25" customHeight="1" x14ac:dyDescent="0.3">
      <c r="A6" s="23" t="s">
        <v>23</v>
      </c>
    </row>
    <row r="7" spans="1:2" s="19" customFormat="1" ht="205.05" customHeight="1" x14ac:dyDescent="0.3">
      <c r="A7" s="28" t="s">
        <v>24</v>
      </c>
    </row>
    <row r="8" spans="1:2" s="22" customFormat="1" ht="25.8" x14ac:dyDescent="0.5">
      <c r="A8" s="23" t="s">
        <v>25</v>
      </c>
    </row>
    <row r="9" spans="1:2" ht="57.6" x14ac:dyDescent="0.3">
      <c r="A9" s="24" t="s">
        <v>26</v>
      </c>
    </row>
    <row r="10" spans="1:2" s="19" customFormat="1" ht="28.05" customHeight="1" x14ac:dyDescent="0.3">
      <c r="A10" s="27" t="s">
        <v>27</v>
      </c>
    </row>
    <row r="11" spans="1:2" s="22" customFormat="1" ht="25.8" x14ac:dyDescent="0.5">
      <c r="A11" s="23" t="s">
        <v>28</v>
      </c>
    </row>
    <row r="12" spans="1:2" ht="28.8" x14ac:dyDescent="0.3">
      <c r="A12" s="24" t="s">
        <v>29</v>
      </c>
    </row>
    <row r="13" spans="1:2" s="19" customFormat="1" ht="28.05" customHeight="1" x14ac:dyDescent="0.3">
      <c r="A13" s="27" t="s">
        <v>30</v>
      </c>
    </row>
    <row r="14" spans="1:2" s="22" customFormat="1" ht="25.8" x14ac:dyDescent="0.5">
      <c r="A14" s="23" t="s">
        <v>31</v>
      </c>
    </row>
    <row r="15" spans="1:2" ht="88.5" customHeight="1" x14ac:dyDescent="0.3">
      <c r="A15" s="24" t="s">
        <v>32</v>
      </c>
    </row>
    <row r="16" spans="1:2" ht="96.75" customHeight="1" x14ac:dyDescent="0.3">
      <c r="A16" s="24" t="s">
        <v>33</v>
      </c>
    </row>
  </sheetData>
  <hyperlinks>
    <hyperlink ref="A13" r:id="rId1"/>
    <hyperlink ref="A10" r:id="rId2"/>
    <hyperlink ref="A3" r:id="rId3"/>
    <hyperlink ref="A2" r:id="rId4"/>
  </hyperlinks>
  <pageMargins left="0.5" right="0.5" top="0.5" bottom="0.5" header="0.3" footer="0.3"/>
  <pageSetup paperSize="9" scale="94"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purl.org/dc/terms/"/>
    <ds:schemaRef ds:uri="http://purl.org/dc/elements/1.1/"/>
    <ds:schemaRef ds:uri="http://schemas.microsoft.com/sharepoint/v3"/>
    <ds:schemaRef ds:uri="http://schemas.microsoft.com/office/infopath/2007/PartnerControls"/>
    <ds:schemaRef ds:uri="http://schemas.microsoft.com/office/2006/documentManagement/types"/>
    <ds:schemaRef ds:uri="http://schemas.openxmlformats.org/package/2006/metadata/core-properties"/>
    <ds:schemaRef ds:uri="16c05727-aa75-4e4a-9b5f-8a80a1165891"/>
    <ds:schemaRef ds:uri="230e9df3-be65-4c73-a93b-d1236ebd677e"/>
    <ds:schemaRef ds:uri="71af3243-3dd4-4a8d-8c0d-dd76da1f02a5"/>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Feuilles de calcul</vt:lpstr>
      </vt:variant>
      <vt:variant>
        <vt:i4>2</vt:i4>
      </vt:variant>
      <vt:variant>
        <vt:lpstr>Plages nommées</vt:lpstr>
      </vt:variant>
      <vt:variant>
        <vt:i4>5</vt:i4>
      </vt:variant>
    </vt:vector>
  </HeadingPairs>
  <TitlesOfParts>
    <vt:vector size="7" baseType="lpstr">
      <vt:lpstr>PlanningProjet</vt:lpstr>
      <vt:lpstr>À propos de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2026-05-17T00:02:20Z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